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Sheet1!$G$1:$G$74</definedName>
  </definedNames>
  <calcPr calcId="144525"/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5" i="1"/>
  <c r="I4" i="1"/>
  <c r="I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</calcChain>
</file>

<file path=xl/sharedStrings.xml><?xml version="1.0" encoding="utf-8"?>
<sst xmlns="http://schemas.openxmlformats.org/spreadsheetml/2006/main" count="47" uniqueCount="47">
  <si>
    <t>DISTRICT</t>
  </si>
  <si>
    <t>Ranipet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</si>
  <si>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</si>
  <si>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</si>
  <si>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</si>
  <si>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</si>
  <si>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</si>
  <si>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</si>
  <si>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</si>
  <si>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</si>
  <si>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</si>
  <si>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</si>
  <si>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</si>
  <si>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</si>
  <si>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</si>
  <si>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</si>
  <si>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</si>
  <si>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</si>
  <si>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</si>
  <si>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</si>
  <si>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</si>
  <si>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</si>
  <si>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</si>
  <si>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</si>
  <si>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</si>
  <si>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Tenkasi</t>
  </si>
  <si>
    <t>Thanjavur</t>
  </si>
  <si>
    <t>Theni</t>
  </si>
  <si>
    <t>Thoothukudi</t>
  </si>
  <si>
    <t>Tiruchirappalli</t>
  </si>
  <si>
    <t>Tirunelveli</t>
  </si>
  <si>
    <t>Tiruppur</t>
  </si>
  <si>
    <t>Tiruvallur</t>
  </si>
  <si>
    <t>Tiruvarur</t>
  </si>
  <si>
    <t>Tiruvannamalai</t>
  </si>
  <si>
    <t>Vellore</t>
  </si>
  <si>
    <t>Viluppuram</t>
  </si>
  <si>
    <t>Virudhunagar</t>
  </si>
  <si>
    <t>SANITATION</t>
  </si>
  <si>
    <t>TDDI</t>
  </si>
  <si>
    <t xml:space="preserve">ELECTRICITY </t>
  </si>
  <si>
    <t xml:space="preserve">LITERACY </t>
  </si>
  <si>
    <t>HEALTH INDEX</t>
  </si>
  <si>
    <t>GDP PER CAPITA</t>
  </si>
  <si>
    <t>Tirupathur</t>
  </si>
  <si>
    <t>ECONOMIC INDEX</t>
  </si>
  <si>
    <t>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</si>
</sst>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 applyFill="0" applyProtection="0"/>
  </cellStyleXfs>
  <cellXfs count="15">
    <xf numFmtId="0" fontId="0" fillId="0" borderId="0" xfId="0"/>
    <xf numFmtId="49" fontId="2" fillId="0" borderId="0" xfId="1" applyNumberFormat="1" applyFont="1" applyAlignment="1">
      <alignment horizontal="left" vertical="center" wrapText="1"/>
    </xf>
    <xf numFmtId="49" fontId="0" fillId="0" borderId="0" xfId="0" applyNumberFormat="1" applyFont="1"/>
    <xf numFmtId="0" fontId="0" fillId="0" borderId="0" xfId="0" applyFont="1"/>
    <xf numFmtId="49" fontId="4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right" vertical="center" wrapText="1"/>
    </xf>
    <xf numFmtId="2" fontId="0" fillId="0" borderId="0" xfId="0" applyNumberFormat="1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6" fillId="0" borderId="1" xfId="2" applyFill="1" applyBorder="1" applyProtection="1"/>
    <xf numFmtId="2" fontId="0" fillId="0" borderId="1" xfId="0" applyNumberFormat="1" applyBorder="1"/>
    <xf numFmtId="0" fontId="0" fillId="0" borderId="1" xfId="0" applyFont="1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/>
  </sheetViews>
  <sheetFormatPr defaultRowHeight="15" x14ac:dyDescent="0.25"/>
  <cols>
    <col min="1" max="1" width="19" style="2" customWidth="1"/>
    <col min="2" max="2" width="12.7109375" style="3" customWidth="1"/>
    <col min="3" max="3" width="15.28515625" customWidth="1"/>
    <col min="4" max="4" width="15.42578125" customWidth="1"/>
    <col min="5" max="5" width="12.28515625" customWidth="1"/>
    <col min="6" max="6" width="16.140625" customWidth="1"/>
    <col min="7" max="7" width="17.7109375" style="6" customWidth="1"/>
    <col min="8" max="8" width="17.7109375" customWidth="1"/>
    <col min="9" max="9" width="9.140625" style="6"/>
  </cols>
  <sheetData>
    <row r="1" spans="1:9" x14ac:dyDescent="0.25">
      <c r="A1" s="7" t="s">
        <v>0</v>
      </c>
      <c r="B1" s="7" t="s">
        <v>41</v>
      </c>
      <c r="C1" s="7" t="s">
        <v>42</v>
      </c>
      <c r="D1" s="7" t="s">
        <v>40</v>
      </c>
      <c r="E1" s="7" t="s">
        <v>38</v>
      </c>
      <c r="F1" s="7" t="s">
        <v>43</v>
      </c>
      <c r="G1" s="8" t="s">
        <v>45</v>
      </c>
      <c r="H1" s="7" t="s">
        <v>46</v>
      </c>
      <c r="I1" s="8" t="s">
        <v>39</v>
      </c>
    </row>
    <row r="2" spans="1:9" x14ac:dyDescent="0.25">
      <c r="A2" s="9" t="s">
        <v>2</v>
      </c>
      <c r="B2" s="10">
        <v>71.34</v>
      </c>
      <c r="C2" s="11">
        <v>88</v>
      </c>
      <c r="D2" s="11">
        <v>100</v>
      </c>
      <c r="E2" s="12">
        <v>98.12</v>
      </c>
      <c r="F2" s="11">
        <v>196026</v>
      </c>
      <c r="G2" s="13">
        <f>(F2 - MIN($F$2:$F$39)) / (MAX($F$2:$F$39) - MIN($F$2:$F$39)) * 100</f>
        <v>2.6786862040789789</v>
      </c>
      <c r="H2" s="11">
        <f>(D2+E2)/2</f>
        <v>99.06</v>
      </c>
      <c r="I2" s="13">
        <f>0.2*B2+0.3*C2+0.2*H2+0.3*G2</f>
        <v>61.283605861223698</v>
      </c>
    </row>
    <row r="3" spans="1:9" x14ac:dyDescent="0.25">
      <c r="A3" s="9" t="s">
        <v>3</v>
      </c>
      <c r="B3" s="14">
        <v>91.88</v>
      </c>
      <c r="C3" s="11">
        <v>95</v>
      </c>
      <c r="D3" s="11">
        <v>100</v>
      </c>
      <c r="E3" s="12">
        <v>98.26</v>
      </c>
      <c r="F3" s="11">
        <v>854684</v>
      </c>
      <c r="G3" s="13">
        <f t="shared" ref="G3:G39" si="0">(F3 - MIN($F$2:$F$39)) / (MAX($F$2:$F$39) - MIN($F$2:$F$39)) * 100</f>
        <v>100</v>
      </c>
      <c r="H3" s="11">
        <f t="shared" ref="H3:H39" si="1">(D3+E3)/2</f>
        <v>99.13</v>
      </c>
      <c r="I3" s="13">
        <f>0.2*B3+0.3*C3+0.2*H3+0.3*G3</f>
        <v>96.701999999999998</v>
      </c>
    </row>
    <row r="4" spans="1:9" x14ac:dyDescent="0.25">
      <c r="A4" s="9" t="s">
        <v>4</v>
      </c>
      <c r="B4" s="10">
        <v>90.18</v>
      </c>
      <c r="C4" s="11">
        <v>96</v>
      </c>
      <c r="D4" s="11">
        <v>100</v>
      </c>
      <c r="E4" s="11">
        <v>99.89</v>
      </c>
      <c r="F4" s="11">
        <v>646218</v>
      </c>
      <c r="G4" s="13">
        <f t="shared" si="0"/>
        <v>69.197694400158397</v>
      </c>
      <c r="H4" s="11">
        <f t="shared" si="1"/>
        <v>99.944999999999993</v>
      </c>
      <c r="I4" s="13">
        <f>0.2*B4+0.3*C4+0.2*H4+0.3*G4</f>
        <v>87.584308320047526</v>
      </c>
    </row>
    <row r="5" spans="1:9" x14ac:dyDescent="0.25">
      <c r="A5" s="9" t="s">
        <v>5</v>
      </c>
      <c r="B5" s="10">
        <v>83.98</v>
      </c>
      <c r="C5" s="11">
        <v>94</v>
      </c>
      <c r="D5" s="11">
        <v>98.5</v>
      </c>
      <c r="E5" s="12">
        <v>99.64</v>
      </c>
      <c r="F5" s="11">
        <v>455998</v>
      </c>
      <c r="G5" s="13">
        <f t="shared" si="0"/>
        <v>41.091362570498546</v>
      </c>
      <c r="H5" s="11">
        <f t="shared" si="1"/>
        <v>99.07</v>
      </c>
      <c r="I5" s="13">
        <f>0.2*B5+0.3*C5+0.2*H5+0.3*G5</f>
        <v>77.137408771149566</v>
      </c>
    </row>
    <row r="6" spans="1:9" x14ac:dyDescent="0.25">
      <c r="A6" s="9" t="s">
        <v>6</v>
      </c>
      <c r="B6" s="10">
        <v>78.040000000000006</v>
      </c>
      <c r="C6" s="11">
        <v>90</v>
      </c>
      <c r="D6" s="11">
        <v>100</v>
      </c>
      <c r="E6" s="12">
        <v>95.35</v>
      </c>
      <c r="F6" s="11">
        <v>218611</v>
      </c>
      <c r="G6" s="13">
        <f t="shared" si="0"/>
        <v>6.01577748981585</v>
      </c>
      <c r="H6" s="11">
        <f t="shared" si="1"/>
        <v>97.674999999999997</v>
      </c>
      <c r="I6" s="13">
        <f t="shared" ref="I6:I22" si="2">0.2*B6+0.3*C6+0.2*H6+0.3*G6</f>
        <v>63.947733246944757</v>
      </c>
    </row>
    <row r="7" spans="1:9" x14ac:dyDescent="0.25">
      <c r="A7" s="9" t="s">
        <v>7</v>
      </c>
      <c r="B7" s="10">
        <v>68.540000000000006</v>
      </c>
      <c r="C7" s="11">
        <v>87</v>
      </c>
      <c r="D7" s="11">
        <v>99.8</v>
      </c>
      <c r="E7" s="12">
        <v>97.84</v>
      </c>
      <c r="F7" s="11">
        <v>301699</v>
      </c>
      <c r="G7" s="13">
        <f t="shared" si="0"/>
        <v>18.292609048341649</v>
      </c>
      <c r="H7" s="11">
        <f t="shared" si="1"/>
        <v>98.82</v>
      </c>
      <c r="I7" s="13">
        <f t="shared" si="2"/>
        <v>65.059782714502504</v>
      </c>
    </row>
    <row r="8" spans="1:9" x14ac:dyDescent="0.25">
      <c r="A8" s="9" t="s">
        <v>8</v>
      </c>
      <c r="B8" s="10">
        <v>76.260000000000005</v>
      </c>
      <c r="C8" s="11">
        <v>91</v>
      </c>
      <c r="D8" s="11">
        <v>99.7</v>
      </c>
      <c r="E8" s="12">
        <v>98.36</v>
      </c>
      <c r="F8" s="11">
        <v>289143</v>
      </c>
      <c r="G8" s="13">
        <f t="shared" si="0"/>
        <v>16.437372467260747</v>
      </c>
      <c r="H8" s="11">
        <f t="shared" si="1"/>
        <v>99.03</v>
      </c>
      <c r="I8" s="13">
        <f t="shared" si="2"/>
        <v>67.289211740178231</v>
      </c>
    </row>
    <row r="9" spans="1:9" x14ac:dyDescent="0.25">
      <c r="A9" s="9" t="s">
        <v>9</v>
      </c>
      <c r="B9" s="10">
        <v>72.58</v>
      </c>
      <c r="C9" s="11">
        <v>93</v>
      </c>
      <c r="D9" s="11">
        <v>99.7</v>
      </c>
      <c r="E9" s="12">
        <v>99.65</v>
      </c>
      <c r="F9" s="11">
        <v>325874</v>
      </c>
      <c r="G9" s="13">
        <f t="shared" si="0"/>
        <v>21.864633924706002</v>
      </c>
      <c r="H9" s="11">
        <f t="shared" si="1"/>
        <v>99.675000000000011</v>
      </c>
      <c r="I9" s="13">
        <f t="shared" si="2"/>
        <v>68.910390177411799</v>
      </c>
    </row>
    <row r="10" spans="1:9" x14ac:dyDescent="0.25">
      <c r="A10" s="9" t="s">
        <v>10</v>
      </c>
      <c r="B10" s="14">
        <v>63.49</v>
      </c>
      <c r="C10" s="11">
        <v>88</v>
      </c>
      <c r="D10" s="11">
        <v>100</v>
      </c>
      <c r="E10" s="12">
        <v>95.24</v>
      </c>
      <c r="F10" s="11">
        <v>205501</v>
      </c>
      <c r="G10" s="13">
        <f t="shared" si="0"/>
        <v>4.0786835444534253</v>
      </c>
      <c r="H10" s="11">
        <f t="shared" si="1"/>
        <v>97.62</v>
      </c>
      <c r="I10" s="13">
        <f t="shared" si="2"/>
        <v>59.845605063336031</v>
      </c>
    </row>
    <row r="11" spans="1:9" x14ac:dyDescent="0.25">
      <c r="A11" s="9" t="s">
        <v>11</v>
      </c>
      <c r="B11" s="10">
        <v>84.49</v>
      </c>
      <c r="C11" s="11">
        <v>95</v>
      </c>
      <c r="D11" s="11">
        <v>100</v>
      </c>
      <c r="E11" s="12">
        <v>97.19</v>
      </c>
      <c r="F11" s="11">
        <v>844661</v>
      </c>
      <c r="G11" s="13">
        <f t="shared" si="0"/>
        <v>98.519031837195456</v>
      </c>
      <c r="H11" s="11">
        <f t="shared" si="1"/>
        <v>98.594999999999999</v>
      </c>
      <c r="I11" s="13">
        <f t="shared" si="2"/>
        <v>94.672709551158619</v>
      </c>
    </row>
    <row r="12" spans="1:9" x14ac:dyDescent="0.25">
      <c r="A12" s="9" t="s">
        <v>12</v>
      </c>
      <c r="B12" s="10">
        <v>91.75</v>
      </c>
      <c r="C12" s="11">
        <v>96</v>
      </c>
      <c r="D12" s="11">
        <v>99.5</v>
      </c>
      <c r="E12" s="12">
        <v>99.6</v>
      </c>
      <c r="F12" s="11">
        <v>259361</v>
      </c>
      <c r="G12" s="13">
        <f t="shared" si="0"/>
        <v>12.036874230740247</v>
      </c>
      <c r="H12" s="11">
        <f t="shared" si="1"/>
        <v>99.55</v>
      </c>
      <c r="I12" s="13">
        <f t="shared" si="2"/>
        <v>70.671062269222077</v>
      </c>
    </row>
    <row r="13" spans="1:9" x14ac:dyDescent="0.25">
      <c r="A13" s="9" t="s">
        <v>13</v>
      </c>
      <c r="B13" s="10">
        <v>75.599999999999994</v>
      </c>
      <c r="C13" s="11">
        <v>92</v>
      </c>
      <c r="D13" s="11">
        <v>100</v>
      </c>
      <c r="E13" s="12">
        <v>96.32</v>
      </c>
      <c r="F13" s="11">
        <v>265212</v>
      </c>
      <c r="G13" s="13">
        <f t="shared" si="0"/>
        <v>12.901400292854326</v>
      </c>
      <c r="H13" s="11">
        <f t="shared" si="1"/>
        <v>98.16</v>
      </c>
      <c r="I13" s="13">
        <f t="shared" si="2"/>
        <v>66.222420087856307</v>
      </c>
    </row>
    <row r="14" spans="1:9" x14ac:dyDescent="0.25">
      <c r="A14" s="9" t="s">
        <v>14</v>
      </c>
      <c r="B14" s="10">
        <v>71.459999999999994</v>
      </c>
      <c r="C14" s="11">
        <v>89</v>
      </c>
      <c r="D14" s="11">
        <v>100</v>
      </c>
      <c r="E14" s="12">
        <v>99.62</v>
      </c>
      <c r="F14" s="11">
        <v>427907</v>
      </c>
      <c r="G14" s="13">
        <f t="shared" si="0"/>
        <v>36.940721379104502</v>
      </c>
      <c r="H14" s="11">
        <f t="shared" si="1"/>
        <v>99.81</v>
      </c>
      <c r="I14" s="13">
        <f t="shared" si="2"/>
        <v>72.036216413731353</v>
      </c>
    </row>
    <row r="15" spans="1:9" x14ac:dyDescent="0.25">
      <c r="A15" s="9" t="s">
        <v>15</v>
      </c>
      <c r="B15" s="10">
        <v>83.45</v>
      </c>
      <c r="C15" s="11">
        <v>93</v>
      </c>
      <c r="D15" s="11">
        <v>100</v>
      </c>
      <c r="E15" s="12">
        <v>98.2</v>
      </c>
      <c r="F15" s="11">
        <v>307313</v>
      </c>
      <c r="G15" s="13">
        <f t="shared" si="0"/>
        <v>19.122116707324459</v>
      </c>
      <c r="H15" s="11">
        <f t="shared" si="1"/>
        <v>99.1</v>
      </c>
      <c r="I15" s="13">
        <f t="shared" si="2"/>
        <v>70.146635012197336</v>
      </c>
    </row>
    <row r="16" spans="1:9" x14ac:dyDescent="0.25">
      <c r="A16" s="9" t="s">
        <v>16</v>
      </c>
      <c r="B16" s="14">
        <v>83.37</v>
      </c>
      <c r="C16" s="11">
        <v>91</v>
      </c>
      <c r="D16" s="11">
        <v>100</v>
      </c>
      <c r="E16" s="12">
        <v>97.9</v>
      </c>
      <c r="F16" s="11">
        <v>205386</v>
      </c>
      <c r="G16" s="13">
        <f t="shared" si="0"/>
        <v>4.0616914923011223</v>
      </c>
      <c r="H16" s="11">
        <f t="shared" si="1"/>
        <v>98.95</v>
      </c>
      <c r="I16" s="13">
        <f t="shared" si="2"/>
        <v>64.982507447690352</v>
      </c>
    </row>
    <row r="17" spans="1:9" x14ac:dyDescent="0.25">
      <c r="A17" s="9" t="s">
        <v>17</v>
      </c>
      <c r="B17" s="10">
        <v>83.59</v>
      </c>
      <c r="C17" s="11">
        <v>90</v>
      </c>
      <c r="D17" s="11">
        <v>100</v>
      </c>
      <c r="E17" s="12">
        <v>96.56</v>
      </c>
      <c r="F17" s="11">
        <v>218173</v>
      </c>
      <c r="G17" s="13">
        <f t="shared" si="0"/>
        <v>5.9510599346618651</v>
      </c>
      <c r="H17" s="11">
        <f t="shared" si="1"/>
        <v>98.28</v>
      </c>
      <c r="I17" s="13">
        <f t="shared" si="2"/>
        <v>65.159317980398569</v>
      </c>
    </row>
    <row r="18" spans="1:9" x14ac:dyDescent="0.25">
      <c r="A18" s="9" t="s">
        <v>18</v>
      </c>
      <c r="B18" s="10">
        <v>74.63</v>
      </c>
      <c r="C18" s="11">
        <v>92</v>
      </c>
      <c r="D18" s="11">
        <v>100</v>
      </c>
      <c r="E18" s="12">
        <v>99.67</v>
      </c>
      <c r="F18" s="11">
        <v>504741</v>
      </c>
      <c r="G18" s="13">
        <f t="shared" si="0"/>
        <v>48.293480814495545</v>
      </c>
      <c r="H18" s="11">
        <f t="shared" si="1"/>
        <v>99.835000000000008</v>
      </c>
      <c r="I18" s="13">
        <f t="shared" si="2"/>
        <v>76.981044244348652</v>
      </c>
    </row>
    <row r="19" spans="1:9" x14ac:dyDescent="0.25">
      <c r="A19" s="9" t="s">
        <v>19</v>
      </c>
      <c r="B19" s="10">
        <v>85.2</v>
      </c>
      <c r="C19" s="11">
        <v>94</v>
      </c>
      <c r="D19" s="11">
        <v>99.01</v>
      </c>
      <c r="E19" s="12">
        <v>98.98</v>
      </c>
      <c r="F19" s="11">
        <v>224268</v>
      </c>
      <c r="G19" s="13">
        <f t="shared" si="0"/>
        <v>6.8516386987338711</v>
      </c>
      <c r="H19" s="11">
        <f t="shared" si="1"/>
        <v>98.995000000000005</v>
      </c>
      <c r="I19" s="13">
        <f t="shared" si="2"/>
        <v>67.094491609620164</v>
      </c>
    </row>
    <row r="20" spans="1:9" x14ac:dyDescent="0.25">
      <c r="A20" s="9" t="s">
        <v>20</v>
      </c>
      <c r="B20" s="10">
        <v>74.319999999999993</v>
      </c>
      <c r="C20" s="11">
        <v>89</v>
      </c>
      <c r="D20" s="11">
        <v>100</v>
      </c>
      <c r="E20" s="12">
        <v>98.66</v>
      </c>
      <c r="F20" s="11">
        <v>177897</v>
      </c>
      <c r="G20" s="13">
        <f t="shared" si="0"/>
        <v>0</v>
      </c>
      <c r="H20" s="11">
        <f t="shared" si="1"/>
        <v>99.33</v>
      </c>
      <c r="I20" s="13">
        <f t="shared" si="2"/>
        <v>61.43</v>
      </c>
    </row>
    <row r="21" spans="1:9" x14ac:dyDescent="0.25">
      <c r="A21" s="9" t="s">
        <v>21</v>
      </c>
      <c r="B21" s="10">
        <v>77.19</v>
      </c>
      <c r="C21" s="11">
        <v>90</v>
      </c>
      <c r="D21" s="11">
        <v>100</v>
      </c>
      <c r="E21" s="12">
        <v>97.82</v>
      </c>
      <c r="F21" s="11">
        <v>210344</v>
      </c>
      <c r="G21" s="13">
        <f t="shared" si="0"/>
        <v>4.794270575528194</v>
      </c>
      <c r="H21" s="11">
        <f t="shared" si="1"/>
        <v>98.91</v>
      </c>
      <c r="I21" s="13">
        <f t="shared" si="2"/>
        <v>63.658281172658455</v>
      </c>
    </row>
    <row r="22" spans="1:9" x14ac:dyDescent="0.25">
      <c r="A22" s="9" t="s">
        <v>22</v>
      </c>
      <c r="B22" s="10">
        <v>80.72</v>
      </c>
      <c r="C22" s="11">
        <v>88</v>
      </c>
      <c r="D22" s="11">
        <v>100</v>
      </c>
      <c r="E22" s="12">
        <v>96.66</v>
      </c>
      <c r="F22" s="11">
        <v>226586</v>
      </c>
      <c r="G22" s="13">
        <f t="shared" si="0"/>
        <v>7.1941393673341834</v>
      </c>
      <c r="H22" s="11">
        <f t="shared" si="1"/>
        <v>98.33</v>
      </c>
      <c r="I22" s="13">
        <f t="shared" si="2"/>
        <v>64.368241810200246</v>
      </c>
    </row>
    <row r="23" spans="1:9" x14ac:dyDescent="0.25">
      <c r="A23" s="9" t="s">
        <v>1</v>
      </c>
      <c r="B23" s="14">
        <v>79.599999999999994</v>
      </c>
      <c r="C23" s="11">
        <v>92</v>
      </c>
      <c r="D23" s="11">
        <v>100</v>
      </c>
      <c r="E23" s="12">
        <v>97.65</v>
      </c>
      <c r="F23" s="11">
        <v>264973</v>
      </c>
      <c r="G23" s="13">
        <f t="shared" si="0"/>
        <v>12.866086375772584</v>
      </c>
      <c r="H23" s="11">
        <f t="shared" si="1"/>
        <v>98.825000000000003</v>
      </c>
      <c r="I23" s="13">
        <f>0.2*B23+0.3*C23+0.2*H23+0.3*G23</f>
        <v>67.144825912731775</v>
      </c>
    </row>
    <row r="24" spans="1:9" x14ac:dyDescent="0.25">
      <c r="A24" s="9" t="s">
        <v>23</v>
      </c>
      <c r="B24" s="10">
        <v>72.86</v>
      </c>
      <c r="C24" s="11">
        <v>91</v>
      </c>
      <c r="D24" s="11">
        <v>100</v>
      </c>
      <c r="E24" s="12">
        <v>99.25</v>
      </c>
      <c r="F24" s="11">
        <v>279609</v>
      </c>
      <c r="G24" s="13">
        <f t="shared" si="0"/>
        <v>15.028657465347294</v>
      </c>
      <c r="H24" s="11">
        <f t="shared" si="1"/>
        <v>99.625</v>
      </c>
      <c r="I24" s="13">
        <f>0.2*B24+0.3*C24+0.2*H24+0.3*G24</f>
        <v>66.305597239604182</v>
      </c>
    </row>
    <row r="25" spans="1:9" x14ac:dyDescent="0.25">
      <c r="A25" s="9" t="s">
        <v>24</v>
      </c>
      <c r="B25" s="10">
        <v>79.849999999999994</v>
      </c>
      <c r="C25" s="11">
        <v>89</v>
      </c>
      <c r="D25" s="11">
        <v>100</v>
      </c>
      <c r="E25" s="12">
        <v>99.27</v>
      </c>
      <c r="F25" s="11">
        <v>223688</v>
      </c>
      <c r="G25" s="13">
        <f t="shared" si="0"/>
        <v>6.7659396530961731</v>
      </c>
      <c r="H25" s="11">
        <f t="shared" si="1"/>
        <v>99.634999999999991</v>
      </c>
      <c r="I25" s="13">
        <f>0.2*B25+0.3*C25+0.2*H25+0.3*G25</f>
        <v>64.626781895928858</v>
      </c>
    </row>
    <row r="26" spans="1:9" x14ac:dyDescent="0.25">
      <c r="A26" s="9" t="s">
        <v>25</v>
      </c>
      <c r="B26" s="14">
        <v>77.42</v>
      </c>
      <c r="C26" s="11">
        <v>90</v>
      </c>
      <c r="D26" s="11">
        <v>100</v>
      </c>
      <c r="E26" s="12">
        <v>99.28</v>
      </c>
      <c r="F26" s="11">
        <v>268681</v>
      </c>
      <c r="G26" s="13">
        <f t="shared" si="0"/>
        <v>13.413969239952895</v>
      </c>
      <c r="H26" s="11">
        <f t="shared" si="1"/>
        <v>99.64</v>
      </c>
      <c r="I26" s="13">
        <f>0.2*B26+0.3*C26+0.2*H26+0.3*G26</f>
        <v>66.436190771985878</v>
      </c>
    </row>
    <row r="27" spans="1:9" x14ac:dyDescent="0.25">
      <c r="A27" s="9" t="s">
        <v>26</v>
      </c>
      <c r="B27" s="10">
        <v>82.64</v>
      </c>
      <c r="C27" s="11">
        <v>92</v>
      </c>
      <c r="D27" s="11">
        <v>100</v>
      </c>
      <c r="E27" s="12">
        <v>98.66</v>
      </c>
      <c r="F27" s="11">
        <v>219930</v>
      </c>
      <c r="G27" s="13">
        <f t="shared" si="0"/>
        <v>6.210668940153993</v>
      </c>
      <c r="H27" s="11">
        <f t="shared" si="1"/>
        <v>99.33</v>
      </c>
      <c r="I27" s="13">
        <f t="shared" ref="I27:I39" si="3">0.2*B27+0.3*C27+0.2*H27+0.3*G27</f>
        <v>65.857200682046198</v>
      </c>
    </row>
    <row r="28" spans="1:9" x14ac:dyDescent="0.25">
      <c r="A28" s="9" t="s">
        <v>27</v>
      </c>
      <c r="B28" s="10">
        <v>77.260000000000005</v>
      </c>
      <c r="C28" s="11">
        <v>91</v>
      </c>
      <c r="D28" s="11">
        <v>94.7</v>
      </c>
      <c r="E28" s="12">
        <v>97.25</v>
      </c>
      <c r="F28" s="11">
        <v>240406</v>
      </c>
      <c r="G28" s="13">
        <f t="shared" si="0"/>
        <v>9.2361407651151701</v>
      </c>
      <c r="H28" s="11">
        <f t="shared" si="1"/>
        <v>95.974999999999994</v>
      </c>
      <c r="I28" s="13">
        <f t="shared" si="3"/>
        <v>64.717842229534554</v>
      </c>
    </row>
    <row r="29" spans="1:9" x14ac:dyDescent="0.25">
      <c r="A29" s="9" t="s">
        <v>28</v>
      </c>
      <c r="B29" s="10">
        <v>86.16</v>
      </c>
      <c r="C29" s="11">
        <v>92</v>
      </c>
      <c r="D29" s="11">
        <v>100</v>
      </c>
      <c r="E29" s="12">
        <v>98.69</v>
      </c>
      <c r="F29" s="11">
        <v>292308</v>
      </c>
      <c r="G29" s="13">
        <f t="shared" si="0"/>
        <v>16.905023293887147</v>
      </c>
      <c r="H29" s="11">
        <f t="shared" si="1"/>
        <v>99.344999999999999</v>
      </c>
      <c r="I29" s="13">
        <f t="shared" si="3"/>
        <v>69.772506988166143</v>
      </c>
    </row>
    <row r="30" spans="1:9" x14ac:dyDescent="0.25">
      <c r="A30" s="9" t="s">
        <v>29</v>
      </c>
      <c r="B30" s="10">
        <v>83.23</v>
      </c>
      <c r="C30" s="11">
        <v>93</v>
      </c>
      <c r="D30" s="11">
        <v>100</v>
      </c>
      <c r="E30" s="12">
        <v>99.46</v>
      </c>
      <c r="F30" s="11">
        <v>289717</v>
      </c>
      <c r="G30" s="13">
        <f t="shared" si="0"/>
        <v>16.522184971047022</v>
      </c>
      <c r="H30" s="11">
        <f t="shared" si="1"/>
        <v>99.72999999999999</v>
      </c>
      <c r="I30" s="13">
        <f t="shared" si="3"/>
        <v>69.448655491314099</v>
      </c>
    </row>
    <row r="31" spans="1:9" x14ac:dyDescent="0.25">
      <c r="A31" s="9" t="s">
        <v>30</v>
      </c>
      <c r="B31" s="10">
        <v>82.5</v>
      </c>
      <c r="C31" s="11">
        <v>92</v>
      </c>
      <c r="D31" s="11">
        <v>99.8</v>
      </c>
      <c r="E31" s="12">
        <v>99.82</v>
      </c>
      <c r="F31" s="11">
        <v>268274</v>
      </c>
      <c r="G31" s="13">
        <f t="shared" si="0"/>
        <v>13.35383215103127</v>
      </c>
      <c r="H31" s="11">
        <f t="shared" si="1"/>
        <v>99.81</v>
      </c>
      <c r="I31" s="13">
        <f t="shared" si="3"/>
        <v>68.068149645309376</v>
      </c>
    </row>
    <row r="32" spans="1:9" x14ac:dyDescent="0.25">
      <c r="A32" s="9" t="s">
        <v>44</v>
      </c>
      <c r="B32" s="14">
        <v>76.099999999999994</v>
      </c>
      <c r="C32" s="11">
        <v>89</v>
      </c>
      <c r="D32" s="11">
        <v>100</v>
      </c>
      <c r="E32" s="12">
        <v>97.05</v>
      </c>
      <c r="F32" s="11">
        <v>274434</v>
      </c>
      <c r="G32" s="13">
        <f t="shared" si="0"/>
        <v>14.264015118493706</v>
      </c>
      <c r="H32" s="11">
        <f t="shared" si="1"/>
        <v>98.525000000000006</v>
      </c>
      <c r="I32" s="13">
        <f t="shared" si="3"/>
        <v>65.904204535548118</v>
      </c>
    </row>
    <row r="33" spans="1:9" x14ac:dyDescent="0.25">
      <c r="A33" s="9" t="s">
        <v>31</v>
      </c>
      <c r="B33" s="14">
        <v>78.680000000000007</v>
      </c>
      <c r="C33" s="11">
        <v>93</v>
      </c>
      <c r="D33" s="11">
        <v>99.5</v>
      </c>
      <c r="E33" s="12">
        <v>99.17</v>
      </c>
      <c r="F33" s="11">
        <v>486518</v>
      </c>
      <c r="G33" s="13">
        <f t="shared" si="0"/>
        <v>45.600905454744257</v>
      </c>
      <c r="H33" s="11">
        <f t="shared" si="1"/>
        <v>99.335000000000008</v>
      </c>
      <c r="I33" s="13">
        <f t="shared" si="3"/>
        <v>77.183271636423285</v>
      </c>
    </row>
    <row r="34" spans="1:9" x14ac:dyDescent="0.25">
      <c r="A34" s="9" t="s">
        <v>32</v>
      </c>
      <c r="B34" s="10">
        <v>84.03</v>
      </c>
      <c r="C34" s="11">
        <v>94</v>
      </c>
      <c r="D34" s="11">
        <v>100</v>
      </c>
      <c r="E34" s="12">
        <v>97.89</v>
      </c>
      <c r="F34" s="11">
        <v>483861</v>
      </c>
      <c r="G34" s="13">
        <f t="shared" si="0"/>
        <v>45.208315171538459</v>
      </c>
      <c r="H34" s="11">
        <f t="shared" si="1"/>
        <v>98.944999999999993</v>
      </c>
      <c r="I34" s="13">
        <f t="shared" si="3"/>
        <v>78.357494551461542</v>
      </c>
    </row>
    <row r="35" spans="1:9" x14ac:dyDescent="0.25">
      <c r="A35" s="9" t="s">
        <v>33</v>
      </c>
      <c r="B35" s="10">
        <v>82.86</v>
      </c>
      <c r="C35" s="11">
        <v>91</v>
      </c>
      <c r="D35" s="11">
        <v>100</v>
      </c>
      <c r="E35" s="12">
        <v>97.25</v>
      </c>
      <c r="F35" s="11">
        <v>178203</v>
      </c>
      <c r="G35" s="13">
        <f t="shared" si="0"/>
        <v>4.521363442264701E-2</v>
      </c>
      <c r="H35" s="11">
        <f t="shared" si="1"/>
        <v>98.625</v>
      </c>
      <c r="I35" s="13">
        <f t="shared" si="3"/>
        <v>63.610564090326797</v>
      </c>
    </row>
    <row r="36" spans="1:9" x14ac:dyDescent="0.25">
      <c r="A36" s="9" t="s">
        <v>34</v>
      </c>
      <c r="B36" s="10">
        <v>74.209999999999994</v>
      </c>
      <c r="C36" s="11">
        <v>90</v>
      </c>
      <c r="D36" s="11">
        <v>100</v>
      </c>
      <c r="E36" s="11">
        <v>96.46</v>
      </c>
      <c r="F36" s="11">
        <v>232183</v>
      </c>
      <c r="G36" s="13">
        <f t="shared" si="0"/>
        <v>8.0211351577379588</v>
      </c>
      <c r="H36" s="11">
        <f t="shared" si="1"/>
        <v>98.22999999999999</v>
      </c>
      <c r="I36" s="13">
        <f t="shared" si="3"/>
        <v>63.894340547321384</v>
      </c>
    </row>
    <row r="37" spans="1:9" x14ac:dyDescent="0.25">
      <c r="A37" s="9" t="s">
        <v>35</v>
      </c>
      <c r="B37" s="10">
        <v>79.17</v>
      </c>
      <c r="C37" s="11">
        <v>92</v>
      </c>
      <c r="D37" s="11">
        <v>100</v>
      </c>
      <c r="E37" s="12">
        <v>99.08</v>
      </c>
      <c r="F37" s="11">
        <v>269453</v>
      </c>
      <c r="G37" s="13">
        <f t="shared" si="0"/>
        <v>13.528037624836175</v>
      </c>
      <c r="H37" s="11">
        <f t="shared" si="1"/>
        <v>99.539999999999992</v>
      </c>
      <c r="I37" s="13">
        <f t="shared" si="3"/>
        <v>67.400411287450851</v>
      </c>
    </row>
    <row r="38" spans="1:9" x14ac:dyDescent="0.25">
      <c r="A38" s="9" t="s">
        <v>36</v>
      </c>
      <c r="B38" s="10">
        <v>71.88</v>
      </c>
      <c r="C38" s="11">
        <v>89</v>
      </c>
      <c r="D38" s="11">
        <v>100</v>
      </c>
      <c r="E38" s="12">
        <v>99.02</v>
      </c>
      <c r="F38" s="11">
        <v>183752</v>
      </c>
      <c r="G38" s="13">
        <f t="shared" si="0"/>
        <v>0.86511709001502679</v>
      </c>
      <c r="H38" s="11">
        <f t="shared" si="1"/>
        <v>99.509999999999991</v>
      </c>
      <c r="I38" s="13">
        <f t="shared" si="3"/>
        <v>61.237535127004513</v>
      </c>
    </row>
    <row r="39" spans="1:9" x14ac:dyDescent="0.25">
      <c r="A39" s="9" t="s">
        <v>37</v>
      </c>
      <c r="B39" s="10">
        <v>80.150000000000006</v>
      </c>
      <c r="C39" s="11">
        <v>91</v>
      </c>
      <c r="D39" s="11">
        <v>100</v>
      </c>
      <c r="E39" s="12">
        <v>99.48</v>
      </c>
      <c r="F39" s="11">
        <v>270272</v>
      </c>
      <c r="G39" s="13">
        <f t="shared" si="0"/>
        <v>13.64905058755561</v>
      </c>
      <c r="H39" s="11">
        <f t="shared" si="1"/>
        <v>99.740000000000009</v>
      </c>
      <c r="I39" s="13">
        <f t="shared" si="3"/>
        <v>67.372715176266695</v>
      </c>
    </row>
    <row r="40" spans="1:9" x14ac:dyDescent="0.25">
      <c r="A40" s="4"/>
    </row>
    <row r="41" spans="1:9" x14ac:dyDescent="0.25">
      <c r="A41" s="5"/>
    </row>
    <row r="42" spans="1:9" x14ac:dyDescent="0.25">
      <c r="A42" s="1"/>
    </row>
    <row r="43" spans="1:9" x14ac:dyDescent="0.25">
      <c r="A43" s="5"/>
    </row>
    <row r="44" spans="1:9" x14ac:dyDescent="0.25">
      <c r="A44" s="1"/>
    </row>
    <row r="45" spans="1:9" x14ac:dyDescent="0.25">
      <c r="A45" s="5"/>
    </row>
    <row r="46" spans="1:9" x14ac:dyDescent="0.25">
      <c r="A46" s="1"/>
    </row>
    <row r="47" spans="1:9" x14ac:dyDescent="0.25">
      <c r="A47" s="5"/>
    </row>
    <row r="48" spans="1:9" x14ac:dyDescent="0.25">
      <c r="A48" s="1"/>
    </row>
    <row r="49" spans="1:1" x14ac:dyDescent="0.25">
      <c r="A49" s="5"/>
    </row>
    <row r="50" spans="1:1" x14ac:dyDescent="0.25">
      <c r="A50" s="1"/>
    </row>
    <row r="51" spans="1:1" x14ac:dyDescent="0.25">
      <c r="A51" s="5"/>
    </row>
    <row r="52" spans="1:1" x14ac:dyDescent="0.25">
      <c r="A52" s="1"/>
    </row>
    <row r="53" spans="1:1" x14ac:dyDescent="0.25">
      <c r="A53" s="5"/>
    </row>
    <row r="54" spans="1:1" x14ac:dyDescent="0.25">
      <c r="A54" s="1"/>
    </row>
    <row r="55" spans="1:1" x14ac:dyDescent="0.25">
      <c r="A55" s="5"/>
    </row>
    <row r="56" spans="1:1" x14ac:dyDescent="0.25">
      <c r="A56" s="1"/>
    </row>
    <row r="57" spans="1:1" x14ac:dyDescent="0.25">
      <c r="A57" s="5"/>
    </row>
    <row r="58" spans="1:1" x14ac:dyDescent="0.25">
      <c r="A58" s="1"/>
    </row>
    <row r="59" spans="1:1" x14ac:dyDescent="0.25">
      <c r="A59" s="5"/>
    </row>
    <row r="60" spans="1:1" x14ac:dyDescent="0.25">
      <c r="A60" s="1"/>
    </row>
    <row r="61" spans="1:1" x14ac:dyDescent="0.25">
      <c r="A61" s="5"/>
    </row>
    <row r="62" spans="1:1" x14ac:dyDescent="0.25">
      <c r="A62" s="1"/>
    </row>
    <row r="63" spans="1:1" x14ac:dyDescent="0.25">
      <c r="A63" s="5"/>
    </row>
    <row r="64" spans="1:1" x14ac:dyDescent="0.25">
      <c r="A64" s="1"/>
    </row>
    <row r="65" spans="1:1" x14ac:dyDescent="0.25">
      <c r="A65" s="5"/>
    </row>
    <row r="66" spans="1:1" x14ac:dyDescent="0.25">
      <c r="A66" s="1"/>
    </row>
    <row r="67" spans="1:1" x14ac:dyDescent="0.25">
      <c r="A67" s="5"/>
    </row>
    <row r="68" spans="1:1" x14ac:dyDescent="0.25">
      <c r="A68" s="1"/>
    </row>
    <row r="69" spans="1:1" x14ac:dyDescent="0.25">
      <c r="A69" s="5"/>
    </row>
    <row r="70" spans="1:1" x14ac:dyDescent="0.25">
      <c r="A70" s="1"/>
    </row>
    <row r="71" spans="1:1" x14ac:dyDescent="0.25">
      <c r="A71" s="5"/>
    </row>
    <row r="72" spans="1:1" x14ac:dyDescent="0.25">
      <c r="A72" s="1"/>
    </row>
    <row r="73" spans="1:1" x14ac:dyDescent="0.25">
      <c r="A73" s="5"/>
    </row>
    <row r="74" spans="1:1" x14ac:dyDescent="0.25">
      <c r="A7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Pandian</dc:creator>
  <cp:lastModifiedBy>Pandian</cp:lastModifiedBy>
  <dcterms:created xsi:type="dcterms:W3CDTF">2026-05-14T15:03:13Z</dcterms:created>
  <dcterms:modified xsi:type="dcterms:W3CDTF">2026-05-14T19:04:47Z</dcterms:modified>
</cp:coreProperties>
</file>